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1" hidePivotFieldList="1"/>
  <bookViews>
    <workbookView xWindow="-120" yWindow="-120" windowWidth="20736" windowHeight="111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_xlnm._FilterDatabase" localSheetId="6" hidden="1">Task_5!$A$22:$N$22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B6" i="18" l="1"/>
  <c r="B28" i="18" s="1"/>
  <c r="C22" i="19"/>
  <c r="E29" i="18"/>
  <c r="F29" i="18"/>
  <c r="C29" i="18"/>
  <c r="D29" i="18"/>
  <c r="F28" i="18"/>
  <c r="E28" i="18"/>
  <c r="D28" i="18"/>
  <c r="C28" i="18"/>
  <c r="B29" i="18" l="1"/>
  <c r="E35" i="20"/>
  <c r="D35" i="20"/>
  <c r="E34" i="20"/>
  <c r="D34" i="20"/>
  <c r="C34" i="20" s="1"/>
  <c r="E33" i="20"/>
  <c r="D33" i="20"/>
  <c r="E32" i="20"/>
  <c r="D32" i="20"/>
  <c r="C32" i="20" s="1"/>
  <c r="E31" i="20"/>
  <c r="D31" i="20"/>
  <c r="E30" i="20"/>
  <c r="D30" i="20"/>
  <c r="C30" i="20" s="1"/>
  <c r="E29" i="20"/>
  <c r="D29" i="20"/>
  <c r="E28" i="20"/>
  <c r="D28" i="20"/>
  <c r="E27" i="20"/>
  <c r="D27" i="20"/>
  <c r="E26" i="20"/>
  <c r="D26" i="20"/>
  <c r="C26" i="20" s="1"/>
  <c r="E25" i="20"/>
  <c r="D25" i="20"/>
  <c r="E24" i="20"/>
  <c r="D24" i="20"/>
  <c r="C24" i="20" s="1"/>
  <c r="E23" i="20"/>
  <c r="D23" i="20"/>
  <c r="C28" i="20"/>
  <c r="C35" i="20"/>
  <c r="C33" i="20"/>
  <c r="C31" i="20"/>
  <c r="C29" i="20"/>
  <c r="C27" i="20"/>
  <c r="C25" i="20"/>
  <c r="F30" i="18"/>
  <c r="E30" i="18"/>
  <c r="D30" i="18"/>
  <c r="C30" i="18"/>
  <c r="B30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C23" i="20" l="1"/>
  <c r="H41" i="1"/>
</calcChain>
</file>

<file path=xl/sharedStrings.xml><?xml version="1.0" encoding="utf-8"?>
<sst xmlns="http://schemas.openxmlformats.org/spreadsheetml/2006/main" count="416" uniqueCount="191">
  <si>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</si>
  <si>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</si>
  <si>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</si>
  <si>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</si>
  <si>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</si>
  <si>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</si>
  <si>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</si>
  <si>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</si>
  <si>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</si>
  <si>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</si>
  <si>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</si>
  <si>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</si>
  <si>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</si>
  <si>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</si>
  <si>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</si>
  <si>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</si>
  <si>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</si>
  <si>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</si>
  <si>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</si>
  <si>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</si>
  <si>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</si>
  <si>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</si>
  <si>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</si>
  <si>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</si>
  <si>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</si>
  <si>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</si>
  <si>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</si>
  <si>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</si>
  <si>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</si>
  <si>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</si>
  <si>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</si>
  <si>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</si>
  <si>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</si>
  <si>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</si>
  <si>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</si>
  <si>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</si>
  <si>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</si>
  <si>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</si>
  <si>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</si>
  <si>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</si>
  <si>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</si>
  <si>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</si>
  <si>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</si>
  <si>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</si>
  <si>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</si>
  <si>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</si>
  <si>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</si>
  <si>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</si>
  <si>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</si>
  <si>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</si>
  <si>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</si>
  <si>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</si>
  <si>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</si>
  <si>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</si>
  <si>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</si>
  <si>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</si>
  <si>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</si>
  <si>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</si>
  <si>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</si>
  <si>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</si>
  <si>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</si>
  <si>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</si>
  <si>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</si>
  <si>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</si>
  <si>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</si>
  <si>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</si>
  <si>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</si>
  <si>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</si>
  <si>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</si>
  <si>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</si>
  <si>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</si>
  <si>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</si>
  <si>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</si>
  <si>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</si>
  <si>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</si>
  <si>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</si>
  <si>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</si>
  <si>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</si>
  <si>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</si>
  <si>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</si>
  <si>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</si>
  <si>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</si>
  <si>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</si>
  <si>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</si>
  <si>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</si>
  <si>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</si>
  <si>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</si>
  <si>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</si>
  <si>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</si>
  <si>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</si>
  <si>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</si>
  <si>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</si>
  <si>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</si>
  <si>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</si>
  <si>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</si>
  <si>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</si>
  <si>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</si>
  <si>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</si>
  <si>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</si>
  <si>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</si>
  <si>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</si>
  <si>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</si>
  <si>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</si>
  <si>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</si>
  <si>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</si>
  <si>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</si>
  <si>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</si>
  <si>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</si>
  <si>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</si>
  <si>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</si>
  <si>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</si>
  <si>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</si>
  <si>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</si>
  <si>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</si>
  <si>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</si>
  <si>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</si>
  <si>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</si>
  <si>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</si>
  <si>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</si>
  <si>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</si>
  <si>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</si>
  <si>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</si>
  <si>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</si>
  <si>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</si>
  <si>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</si>
  <si>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</si>
  <si>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</si>
  <si>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</si>
  <si>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</si>
  <si>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</si>
  <si>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</si>
  <si>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</si>
  <si>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</si>
  <si>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</si>
  <si>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</si>
  <si>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</si>
  <si>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</si>
  <si>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</si>
  <si>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</si>
  <si>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</si>
  <si>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</si>
  <si>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</si>
  <si>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</si>
  <si>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</si>
  <si>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</si>
  <si>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</si>
  <si>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</si>
  <si>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</si>
  <si>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</si>
  <si>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</si>
  <si>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</si>
  <si>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</si>
  <si>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</si>
  <si>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</si>
  <si>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</si>
  <si>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</si>
  <si>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</si>
  <si>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</si>
  <si>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</si>
  <si>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</si>
  <si>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</si>
  <si>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</si>
  <si>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</si>
  <si>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</si>
  <si>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</si>
  <si>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</si>
  <si>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</si>
  <si>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</si>
  <si>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</si>
  <si>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</si>
  <si>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</si>
  <si>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</si>
  <si>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</si>
  <si>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</si>
  <si>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</si>
  <si>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</si>
  <si>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Text to columns</t>
  </si>
  <si>
    <t>Text to column is a feature that allows us to  split the contents of a single column into multiple columns based on a specific delimiter</t>
  </si>
  <si>
    <t>Select cell -&gt; Go to data tab -&gt;Select text to columns -&gt; Select deliminated click next -&gt; Click next -&gt; Choose destination (if we do not select destination  by default, Excel will replace the original data with the split )values.</t>
  </si>
  <si>
    <t>Steps:</t>
  </si>
  <si>
    <t xml:space="preserve"> and row headers. To find intersection value INDEX and MATCH function is used.</t>
  </si>
  <si>
    <t>Vlookup, INDEX and MATCH</t>
  </si>
  <si>
    <t xml:space="preserve">Find &amp; Replace </t>
  </si>
  <si>
    <t>Go to home tab -&gt; Select find and replace option -&gt; Click on find -&gt;Type  #N/A in find what -&gt; Click on replace type "20" -&gt; Click on Replace All</t>
  </si>
  <si>
    <t>It will replace all #N/A values with 20</t>
  </si>
  <si>
    <t>(Red, Green) Select Range -&gt; Go to Home tab -&gt; Click on conditional formatting -&gt; Select new rule -&gt; Select format only cells that contains -&gt; In the next section, set the rule to format cells that are "equal to" -&gt; Enter -1 -&gt; Click format -&gt; Go to fill -&gt; Select red -&gt; Click OK Same procedure reapeted for '0'</t>
  </si>
  <si>
    <t xml:space="preserve">Select sheet -&gt; Go to view tab -&gt; Click on Freeze panes -&gt; From drop down select Freeze top rows -&gt; It will freeze top rows </t>
  </si>
  <si>
    <t>SUMIF(H2:H40,"&gt;20")    The SUMIF function in Excel is used when you want to sum values in a range that meet a specific condition (or criteria). range: The range of cells you want to evaluate based on the criteria.
criteria: The condition that determines which cells should be summed.</t>
  </si>
  <si>
    <t>Select range -&gt; Go to home tab -&gt; Select number group -&gt; Custom -&gt; Select Date -&gt; Select Data Type 'YYYY-MM-DD'</t>
  </si>
  <si>
    <t>VLOOKUP used to lookup information in a table and extract corresponding data. VLOOKUP (value, table, col-index,range lookup) where table is dataset and column index is column number ,0 for excat match</t>
  </si>
  <si>
    <t>First we have used vlookup to find column and row headers.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</si>
</sst>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49" fontId="3" fillId="0" borderId="2" xfId="0" applyNumberFormat="1" applyFont="1" applyBorder="1"/>
    <xf numFmtId="0" fontId="18" fillId="0" borderId="0" xfId="0" applyFont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8" fillId="0" borderId="9" xfId="0" applyFont="1" applyBorder="1"/>
    <xf numFmtId="0" fontId="18" fillId="0" borderId="1" xfId="0" applyFont="1" applyBorder="1"/>
    <xf numFmtId="0" fontId="18" fillId="0" borderId="11" xfId="0" applyFont="1" applyBorder="1"/>
    <xf numFmtId="0" fontId="18" fillId="0" borderId="2" xfId="0" applyFont="1" applyBorder="1"/>
    <xf numFmtId="0" fontId="18" fillId="0" borderId="7" xfId="0" applyFont="1" applyBorder="1"/>
    <xf numFmtId="0" fontId="18" fillId="0" borderId="4" xfId="0" applyFont="1" applyBorder="1"/>
    <xf numFmtId="0" fontId="18" fillId="0" borderId="8" xfId="0" applyFont="1" applyBorder="1"/>
    <xf numFmtId="0" fontId="19" fillId="0" borderId="1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21" sqref="A21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4" t="s">
        <v>169</v>
      </c>
      <c r="B9" s="25" t="s">
        <v>167</v>
      </c>
    </row>
    <row r="10" spans="1:3" x14ac:dyDescent="0.3">
      <c r="A10" s="33" t="s">
        <v>170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84</v>
      </c>
      <c r="B13" s="35">
        <v>20</v>
      </c>
    </row>
    <row r="14" spans="1:3" x14ac:dyDescent="0.3">
      <c r="A14" s="33" t="s">
        <v>97</v>
      </c>
      <c r="B14" s="35">
        <v>40</v>
      </c>
    </row>
    <row r="15" spans="1:3" x14ac:dyDescent="0.3">
      <c r="A15" s="36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C1" zoomScaleNormal="100" workbookViewId="0">
      <pane ySplit="1" topLeftCell="A2" activePane="bottomLeft" state="frozen"/>
      <selection pane="bottomLeft" activeCell="N1" sqref="N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1093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44140625" style="1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3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3" priority="5"/>
  </conditionalFormatting>
  <conditionalFormatting sqref="J2:L40">
    <cfRule type="cellIs" dxfId="2" priority="1" operator="equal">
      <formula>0</formula>
    </cfRule>
    <cfRule type="cellIs" dxfId="1" priority="2" operator="equal">
      <formula>-1</formula>
    </cfRule>
  </conditionalFormatting>
  <conditionalFormatting sqref="B1:B1048576">
    <cfRule type="duplicateValues" dxfId="0" priority="8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F3" sqref="F3"/>
    </sheetView>
  </sheetViews>
  <sheetFormatPr defaultColWidth="11" defaultRowHeight="14.4" x14ac:dyDescent="0.3"/>
  <cols>
    <col min="1" max="1" width="9" style="1" bestFit="1" customWidth="1"/>
    <col min="2" max="2" width="64.88671875" style="1" customWidth="1"/>
    <col min="3" max="3" width="32" style="1" customWidth="1"/>
    <col min="4" max="4" width="11" style="1"/>
    <col min="5" max="5" width="16.10937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ht="124.2" x14ac:dyDescent="0.3">
      <c r="A3" s="6">
        <v>1</v>
      </c>
      <c r="B3" s="45" t="s">
        <v>106</v>
      </c>
      <c r="C3" s="46" t="s">
        <v>185</v>
      </c>
      <c r="E3" s="1">
        <v>5</v>
      </c>
    </row>
    <row r="4" spans="1:5" ht="55.2" x14ac:dyDescent="0.3">
      <c r="A4" s="6">
        <v>2</v>
      </c>
      <c r="B4" s="45" t="s">
        <v>45</v>
      </c>
      <c r="C4" s="46" t="s">
        <v>186</v>
      </c>
      <c r="E4" s="1">
        <v>5</v>
      </c>
    </row>
    <row r="5" spans="1:5" ht="110.4" x14ac:dyDescent="0.3">
      <c r="A5" s="6">
        <v>3</v>
      </c>
      <c r="B5" s="45" t="s">
        <v>103</v>
      </c>
      <c r="C5" s="47" t="s">
        <v>187</v>
      </c>
      <c r="E5" s="1">
        <v>10</v>
      </c>
    </row>
    <row r="6" spans="1:5" ht="55.2" x14ac:dyDescent="0.3">
      <c r="A6" s="6">
        <v>4</v>
      </c>
      <c r="B6" s="45" t="s">
        <v>105</v>
      </c>
      <c r="C6" s="46" t="s">
        <v>188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J10" sqref="J10"/>
    </sheetView>
  </sheetViews>
  <sheetFormatPr defaultColWidth="11" defaultRowHeight="13.8" x14ac:dyDescent="0.3"/>
  <cols>
    <col min="1" max="1" width="18.4414062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54</v>
      </c>
      <c r="B1" s="39" t="s">
        <v>162</v>
      </c>
    </row>
    <row r="2" spans="1:7" s="39" customFormat="1" ht="21" x14ac:dyDescent="0.4">
      <c r="B2" s="39" t="s">
        <v>159</v>
      </c>
    </row>
    <row r="3" spans="1:7" ht="14.4" x14ac:dyDescent="0.3">
      <c r="A3" s="1"/>
      <c r="B3" s="1" t="s">
        <v>189</v>
      </c>
      <c r="C3" s="1"/>
      <c r="D3" s="1"/>
      <c r="E3" s="1"/>
      <c r="F3" s="1"/>
      <c r="G3" s="1"/>
    </row>
    <row r="4" spans="1:7" ht="23.4" x14ac:dyDescent="0.45">
      <c r="A4" s="17" t="s">
        <v>160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2">
        <f>VLOOKUP(A6,Dataset!$A:$X,7,0)</f>
        <v>2.7</v>
      </c>
      <c r="C6" s="12">
        <f>VLOOKUP(A6,Dataset!$A:$X,14,0)</f>
        <v>7.6</v>
      </c>
      <c r="D6" s="12">
        <f>VLOOKUP(A6,Dataset!$A:$X,18,0)</f>
        <v>4.2</v>
      </c>
      <c r="E6" s="12">
        <f>VLOOKUP(A6,Dataset!$A:$X,20,0)</f>
        <v>8.9</v>
      </c>
      <c r="F6" s="8">
        <f>VLOOKUP(A6,Dataset!$A:$X,22,0)</f>
        <v>4.2</v>
      </c>
    </row>
    <row r="7" spans="1:7" ht="14.4" x14ac:dyDescent="0.3">
      <c r="A7" s="7" t="s">
        <v>4</v>
      </c>
      <c r="B7" s="12">
        <f>VLOOKUP(A7,Dataset!$A:$X,7,0)</f>
        <v>2.7</v>
      </c>
      <c r="C7" s="12">
        <f>VLOOKUP(A7,Dataset!$A:$X,14,0)</f>
        <v>7.6</v>
      </c>
      <c r="D7" s="12">
        <f>VLOOKUP(A7,Dataset!$A:$X,18,0)</f>
        <v>4.2</v>
      </c>
      <c r="E7" s="12">
        <f>VLOOKUP(A7,Dataset!$A:$X,20,0)</f>
        <v>8.9</v>
      </c>
      <c r="F7" s="8">
        <f>VLOOKUP(A7,Dataset!$A:$X,22,0)</f>
        <v>4.2</v>
      </c>
    </row>
    <row r="8" spans="1:7" ht="14.4" x14ac:dyDescent="0.3">
      <c r="A8" s="7" t="s">
        <v>7</v>
      </c>
      <c r="B8" s="12">
        <f>VLOOKUP(A8,Dataset!$A:$X,7,0)</f>
        <v>3.6</v>
      </c>
      <c r="C8" s="12">
        <f>VLOOKUP(A8,Dataset!$A:$X,14,0)</f>
        <v>11.1</v>
      </c>
      <c r="D8" s="12">
        <f>VLOOKUP(A8,Dataset!$A:$X,18,0)</f>
        <v>5.8</v>
      </c>
      <c r="E8" s="12">
        <f>VLOOKUP(A8,Dataset!$A:$X,20,0)</f>
        <v>12.2</v>
      </c>
      <c r="F8" s="8">
        <f>VLOOKUP(A8,Dataset!$A:$X,22,0)</f>
        <v>5.8</v>
      </c>
    </row>
    <row r="9" spans="1:7" ht="14.4" x14ac:dyDescent="0.3">
      <c r="A9" s="7" t="s">
        <v>8</v>
      </c>
      <c r="B9" s="12">
        <f>VLOOKUP(A9,Dataset!$A:$X,7,0)</f>
        <v>4.9000000000000004</v>
      </c>
      <c r="C9" s="12">
        <f>VLOOKUP(A9,Dataset!$A:$X,14,0)</f>
        <v>13.3</v>
      </c>
      <c r="D9" s="12">
        <f>VLOOKUP(A9,Dataset!$A:$X,18,0)</f>
        <v>8.1</v>
      </c>
      <c r="E9" s="12">
        <f>VLOOKUP(A9,Dataset!$A:$X,20,0)</f>
        <v>17</v>
      </c>
      <c r="F9" s="8">
        <f>VLOOKUP(A9,Dataset!$A:$X,22,0)</f>
        <v>8.1</v>
      </c>
    </row>
    <row r="10" spans="1:7" ht="14.4" x14ac:dyDescent="0.3">
      <c r="A10" s="7" t="s">
        <v>11</v>
      </c>
      <c r="B10" s="12">
        <f>VLOOKUP(A10,Dataset!$A:$X,7,0)</f>
        <v>9.4</v>
      </c>
      <c r="C10" s="12">
        <f>VLOOKUP(A10,Dataset!$A:$X,14,0)</f>
        <v>28.3</v>
      </c>
      <c r="D10" s="12">
        <f>VLOOKUP(A10,Dataset!$A:$X,18,0)</f>
        <v>16.100000000000001</v>
      </c>
      <c r="E10" s="12">
        <f>VLOOKUP(A10,Dataset!$A:$X,20,0)</f>
        <v>32.799999999999997</v>
      </c>
      <c r="F10" s="8">
        <f>VLOOKUP(A10,Dataset!$A:$X,22,0)</f>
        <v>16.100000000000001</v>
      </c>
    </row>
    <row r="11" spans="1:7" ht="14.4" x14ac:dyDescent="0.3">
      <c r="A11" s="7" t="s">
        <v>12</v>
      </c>
      <c r="B11" s="12">
        <f>VLOOKUP(A11,Dataset!$A:$X,7,0)</f>
        <v>11.6</v>
      </c>
      <c r="C11" s="12">
        <f>VLOOKUP(A11,Dataset!$A:$X,14,0)</f>
        <v>35.200000000000003</v>
      </c>
      <c r="D11" s="12">
        <f>VLOOKUP(A11,Dataset!$A:$X,18,0)</f>
        <v>21.3</v>
      </c>
      <c r="E11" s="12">
        <f>VLOOKUP(A11,Dataset!$A:$X,20,0)</f>
        <v>43</v>
      </c>
      <c r="F11" s="8">
        <f>VLOOKUP(A11,Dataset!$A:$X,22,0)</f>
        <v>21.3</v>
      </c>
    </row>
    <row r="12" spans="1:7" ht="14.4" x14ac:dyDescent="0.3">
      <c r="A12" s="7" t="s">
        <v>14</v>
      </c>
      <c r="B12" s="12">
        <f>VLOOKUP(A12,Dataset!$A:$X,7,0)</f>
        <v>18.399999999999999</v>
      </c>
      <c r="C12" s="12">
        <f>VLOOKUP(A12,Dataset!$A:$X,14,0)</f>
        <v>55.6</v>
      </c>
      <c r="D12" s="12">
        <f>VLOOKUP(A12,Dataset!$A:$X,18,0)</f>
        <v>33.799999999999997</v>
      </c>
      <c r="E12" s="12">
        <f>VLOOKUP(A12,Dataset!$A:$X,20,0)</f>
        <v>67.900000000000006</v>
      </c>
      <c r="F12" s="8">
        <f>VLOOKUP(A12,Dataset!$A:$X,22,0)</f>
        <v>33.799999999999997</v>
      </c>
    </row>
    <row r="13" spans="1:7" ht="14.4" x14ac:dyDescent="0.3">
      <c r="A13" s="7" t="s">
        <v>15</v>
      </c>
      <c r="B13" s="12">
        <f>VLOOKUP(A13,Dataset!$A:$X,7,0)</f>
        <v>0</v>
      </c>
      <c r="C13" s="12">
        <f>VLOOKUP(A13,Dataset!$A:$X,14,0)</f>
        <v>0</v>
      </c>
      <c r="D13" s="12">
        <f>VLOOKUP(A13,Dataset!$A:$X,18,0)</f>
        <v>0</v>
      </c>
      <c r="E13" s="12">
        <f>VLOOKUP(A13,Dataset!$A:$X,20,0)</f>
        <v>0</v>
      </c>
      <c r="F13" s="8">
        <f>VLOOKUP(A13,Dataset!$A:$X,22,0)</f>
        <v>0</v>
      </c>
    </row>
    <row r="14" spans="1:7" ht="14.4" x14ac:dyDescent="0.3">
      <c r="A14" s="7" t="s">
        <v>16</v>
      </c>
      <c r="B14" s="12">
        <f>VLOOKUP(A14,Dataset!$A:$X,7,0)</f>
        <v>21.9</v>
      </c>
      <c r="C14" s="12">
        <f>VLOOKUP(A14,Dataset!$A:$X,14,0)</f>
        <v>61.5</v>
      </c>
      <c r="D14" s="12">
        <f>VLOOKUP(A14,Dataset!$A:$X,18,0)</f>
        <v>40.1</v>
      </c>
      <c r="E14" s="12">
        <f>VLOOKUP(A14,Dataset!$A:$X,20,0)</f>
        <v>76.599999999999994</v>
      </c>
      <c r="F14" s="8">
        <f>VLOOKUP(A14,Dataset!$A:$X,22,0)</f>
        <v>40.1</v>
      </c>
    </row>
    <row r="15" spans="1:7" ht="14.4" x14ac:dyDescent="0.3">
      <c r="A15" s="7" t="s">
        <v>18</v>
      </c>
      <c r="B15" s="12">
        <f>VLOOKUP(A15,Dataset!$A:$X,7,0)</f>
        <v>26.8</v>
      </c>
      <c r="C15" s="12">
        <f>VLOOKUP(A15,Dataset!$A:$X,14,0)</f>
        <v>79.599999999999994</v>
      </c>
      <c r="D15" s="12">
        <f>VLOOKUP(A15,Dataset!$A:$X,18,0)</f>
        <v>47.9</v>
      </c>
      <c r="E15" s="12">
        <f>VLOOKUP(A15,Dataset!$A:$X,20,0)</f>
        <v>96.8</v>
      </c>
      <c r="F15" s="8">
        <f>VLOOKUP(A15,Dataset!$A:$X,22,0)</f>
        <v>47.9</v>
      </c>
    </row>
    <row r="16" spans="1:7" ht="14.4" x14ac:dyDescent="0.3">
      <c r="A16" s="7" t="s">
        <v>20</v>
      </c>
      <c r="B16" s="12">
        <f>VLOOKUP(A16,Dataset!$A:$X,7,0)</f>
        <v>28.5</v>
      </c>
      <c r="C16" s="12">
        <f>VLOOKUP(A16,Dataset!$A:$X,14,0)</f>
        <v>85.4</v>
      </c>
      <c r="D16" s="12">
        <f>VLOOKUP(A16,Dataset!$A:$X,18,0)</f>
        <v>52.3</v>
      </c>
      <c r="E16" s="12">
        <f>VLOOKUP(A16,Dataset!$A:$X,20,0)</f>
        <v>106.1</v>
      </c>
      <c r="F16" s="8">
        <f>VLOOKUP(A16,Dataset!$A:$X,22,0)</f>
        <v>52.3</v>
      </c>
    </row>
    <row r="17" spans="1:6" ht="14.4" x14ac:dyDescent="0.3">
      <c r="A17" s="7" t="s">
        <v>22</v>
      </c>
      <c r="B17" s="12">
        <f>VLOOKUP(A17,Dataset!$A:$X,7,0)</f>
        <v>30.7</v>
      </c>
      <c r="C17" s="12">
        <f>VLOOKUP(A17,Dataset!$A:$X,14,0)</f>
        <v>92.1</v>
      </c>
      <c r="D17" s="12">
        <f>VLOOKUP(A17,Dataset!$A:$X,18,0)</f>
        <v>57</v>
      </c>
      <c r="E17" s="12">
        <f>VLOOKUP(A17,Dataset!$A:$X,20,0)</f>
        <v>115.1</v>
      </c>
      <c r="F17" s="8">
        <f>VLOOKUP(A17,Dataset!$A:$X,22,0)</f>
        <v>57</v>
      </c>
    </row>
    <row r="18" spans="1:6" ht="14.4" x14ac:dyDescent="0.3">
      <c r="A18" s="7" t="s">
        <v>23</v>
      </c>
      <c r="B18" s="12">
        <f>VLOOKUP(A18,Dataset!$A:$X,7,0)</f>
        <v>33.799999999999997</v>
      </c>
      <c r="C18" s="12">
        <f>VLOOKUP(A18,Dataset!$A:$X,14,0)</f>
        <v>101.3</v>
      </c>
      <c r="D18" s="12">
        <f>VLOOKUP(A18,Dataset!$A:$X,18,0)</f>
        <v>61.4</v>
      </c>
      <c r="E18" s="12">
        <f>VLOOKUP(A18,Dataset!$A:$X,20,0)</f>
        <v>124.4</v>
      </c>
      <c r="F18" s="8">
        <f>VLOOKUP(A18,Dataset!$A:$X,22,0)</f>
        <v>61.4</v>
      </c>
    </row>
    <row r="19" spans="1:6" ht="14.4" x14ac:dyDescent="0.3">
      <c r="A19" s="7" t="s">
        <v>24</v>
      </c>
      <c r="B19" s="12">
        <f>VLOOKUP(A19,Dataset!$A:$X,7,0)</f>
        <v>34.700000000000003</v>
      </c>
      <c r="C19" s="12">
        <f>VLOOKUP(A19,Dataset!$A:$X,14,0)</f>
        <v>106.1</v>
      </c>
      <c r="D19" s="12">
        <f>VLOOKUP(A19,Dataset!$A:$X,18,0)</f>
        <v>63.6</v>
      </c>
      <c r="E19" s="12">
        <f>VLOOKUP(A19,Dataset!$A:$X,20,0)</f>
        <v>128.6</v>
      </c>
      <c r="F19" s="8">
        <f>VLOOKUP(A19,Dataset!$A:$X,22,0)</f>
        <v>63.6</v>
      </c>
    </row>
    <row r="20" spans="1:6" ht="14.4" x14ac:dyDescent="0.3">
      <c r="A20" s="7" t="s">
        <v>28</v>
      </c>
      <c r="B20" s="12">
        <f>VLOOKUP(A20,Dataset!$A:$X,7,0)</f>
        <v>0</v>
      </c>
      <c r="C20" s="12">
        <f>VLOOKUP(A20,Dataset!$A:$X,14,0)</f>
        <v>0</v>
      </c>
      <c r="D20" s="12">
        <f>VLOOKUP(A20,Dataset!$A:$X,18,0)</f>
        <v>0</v>
      </c>
      <c r="E20" s="12">
        <f>VLOOKUP(A20,Dataset!$A:$X,20,0)</f>
        <v>0</v>
      </c>
      <c r="F20" s="8">
        <f>VLOOKUP(A20,Dataset!$A:$X,22,0)</f>
        <v>0</v>
      </c>
    </row>
    <row r="21" spans="1:6" ht="14.4" x14ac:dyDescent="0.3">
      <c r="A21" s="7" t="s">
        <v>56</v>
      </c>
      <c r="B21" s="12">
        <f>VLOOKUP(A21,Dataset!$A:$X,7,0)</f>
        <v>41.3</v>
      </c>
      <c r="C21" s="12">
        <f>VLOOKUP(A21,Dataset!$A:$X,14,0)</f>
        <v>124.4</v>
      </c>
      <c r="D21" s="12">
        <f>VLOOKUP(A21,Dataset!$A:$X,18,0)</f>
        <v>75</v>
      </c>
      <c r="E21" s="12">
        <f>VLOOKUP(A21,Dataset!$A:$X,20,0)</f>
        <v>151.5</v>
      </c>
      <c r="F21" s="8">
        <f>VLOOKUP(A21,Dataset!$A:$X,22,0)</f>
        <v>75</v>
      </c>
    </row>
    <row r="22" spans="1:6" ht="14.4" x14ac:dyDescent="0.3">
      <c r="A22" s="7" t="s">
        <v>57</v>
      </c>
      <c r="B22" s="12">
        <f>VLOOKUP(A22,Dataset!$A:$X,7,0)</f>
        <v>-1</v>
      </c>
      <c r="C22" s="12">
        <f>VLOOKUP(A22,Dataset!$A:$X,14,0)</f>
        <v>-1</v>
      </c>
      <c r="D22" s="12">
        <f>VLOOKUP(A22,Dataset!$A:$X,18,0)</f>
        <v>-1</v>
      </c>
      <c r="E22" s="12">
        <f>VLOOKUP(A22,Dataset!$A:$X,20,0)</f>
        <v>-1</v>
      </c>
      <c r="F22" s="8">
        <f>VLOOKUP(A22,Dataset!$A:$X,22,0)</f>
        <v>-1</v>
      </c>
    </row>
    <row r="23" spans="1:6" ht="14.4" x14ac:dyDescent="0.3">
      <c r="A23" s="7" t="s">
        <v>31</v>
      </c>
      <c r="B23" s="12">
        <f>VLOOKUP(A23,Dataset!$A:$X,7,0)</f>
        <v>45</v>
      </c>
      <c r="C23" s="12">
        <f>VLOOKUP(A23,Dataset!$A:$X,14,0)</f>
        <v>133.4</v>
      </c>
      <c r="D23" s="12">
        <f>VLOOKUP(A23,Dataset!$A:$X,18,0)</f>
        <v>79.400000000000006</v>
      </c>
      <c r="E23" s="12">
        <f>VLOOKUP(A23,Dataset!$A:$X,20,0)</f>
        <v>160.9</v>
      </c>
      <c r="F23" s="8">
        <f>VLOOKUP(A23,Dataset!$A:$X,22,0)</f>
        <v>79.400000000000006</v>
      </c>
    </row>
    <row r="24" spans="1:6" ht="14.4" x14ac:dyDescent="0.3">
      <c r="A24" s="7" t="s">
        <v>32</v>
      </c>
      <c r="B24" s="12">
        <f>VLOOKUP(A24,Dataset!$A:$X,7,0)</f>
        <v>-1</v>
      </c>
      <c r="C24" s="12">
        <f>VLOOKUP(A24,Dataset!$A:$X,14,0)</f>
        <v>-1</v>
      </c>
      <c r="D24" s="12">
        <f>VLOOKUP(A24,Dataset!$A:$X,18,0)</f>
        <v>-1</v>
      </c>
      <c r="E24" s="12">
        <f>VLOOKUP(A24,Dataset!$A:$X,20,0)</f>
        <v>-1</v>
      </c>
      <c r="F24" s="8">
        <f>VLOOKUP(A24,Dataset!$A:$X,22,0)</f>
        <v>-1</v>
      </c>
    </row>
    <row r="25" spans="1:6" ht="14.4" x14ac:dyDescent="0.3">
      <c r="A25" s="7" t="s">
        <v>34</v>
      </c>
      <c r="B25" s="12">
        <f>VLOOKUP(A25,Dataset!$A:$X,7,0)</f>
        <v>43.3</v>
      </c>
      <c r="C25" s="12">
        <f>VLOOKUP(A25,Dataset!$A:$X,14,0)</f>
        <v>128.6</v>
      </c>
      <c r="D25" s="12">
        <f>VLOOKUP(A25,Dataset!$A:$X,18,0)</f>
        <v>79.400000000000006</v>
      </c>
      <c r="E25" s="12">
        <f>VLOOKUP(A25,Dataset!$A:$X,20,0)</f>
        <v>160.9</v>
      </c>
      <c r="F25" s="8">
        <f>VLOOKUP(A25,Dataset!$A:$X,22,0)</f>
        <v>79.400000000000006</v>
      </c>
    </row>
    <row r="26" spans="1:6" ht="14.4" x14ac:dyDescent="0.3">
      <c r="A26" s="7" t="s">
        <v>37</v>
      </c>
      <c r="B26" s="12">
        <f>VLOOKUP(A26,Dataset!$A:$X,7,0)</f>
        <v>49.1</v>
      </c>
      <c r="C26" s="12">
        <f>VLOOKUP(A26,Dataset!$A:$X,14,0)</f>
        <v>146.80000000000001</v>
      </c>
      <c r="D26" s="12">
        <f>VLOOKUP(A26,Dataset!$A:$X,18,0)</f>
        <v>90.9</v>
      </c>
      <c r="E26" s="12">
        <f>VLOOKUP(A26,Dataset!$A:$X,20,0)</f>
        <v>183.5</v>
      </c>
      <c r="F26" s="8">
        <f>VLOOKUP(A26,Dataset!$A:$X,22,0)</f>
        <v>90.9</v>
      </c>
    </row>
    <row r="27" spans="1:6" ht="14.4" x14ac:dyDescent="0.3">
      <c r="A27" s="7" t="s">
        <v>39</v>
      </c>
      <c r="B27" s="12">
        <f>VLOOKUP(A27,Dataset!$A:$X,7,0)</f>
        <v>51.8</v>
      </c>
      <c r="C27" s="12">
        <f>VLOOKUP(A27,Dataset!$A:$X,14,0)</f>
        <v>156.4</v>
      </c>
      <c r="D27" s="12">
        <f>VLOOKUP(A27,Dataset!$A:$X,18,0)</f>
        <v>93.1</v>
      </c>
      <c r="E27" s="12">
        <f>VLOOKUP(A27,Dataset!$A:$X,20,0)</f>
        <v>188.1</v>
      </c>
      <c r="F27" s="8">
        <f>VLOOKUP(A27,Dataset!$A:$X,22,0)</f>
        <v>93.1</v>
      </c>
    </row>
    <row r="28" spans="1:6" ht="14.4" x14ac:dyDescent="0.3">
      <c r="A28" s="18" t="s">
        <v>81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82</v>
      </c>
      <c r="B29" s="30">
        <f>MAX(B6:B27)</f>
        <v>51.8</v>
      </c>
      <c r="C29" s="30">
        <f t="shared" ref="C29:F29" si="0">MAX(C6:C27)</f>
        <v>156.4</v>
      </c>
      <c r="D29" s="30">
        <f t="shared" si="0"/>
        <v>93.1</v>
      </c>
      <c r="E29" s="30">
        <f>MAX(E6:E27)</f>
        <v>188.1</v>
      </c>
      <c r="F29" s="30">
        <f t="shared" si="0"/>
        <v>93.1</v>
      </c>
    </row>
    <row r="30" spans="1:6" ht="14.4" x14ac:dyDescent="0.3">
      <c r="A30" s="18" t="s">
        <v>83</v>
      </c>
      <c r="B30" s="30">
        <f>AVERAGE(B6:B27)</f>
        <v>20.827272727272728</v>
      </c>
      <c r="C30" s="30">
        <f t="shared" ref="C30:F30" si="1">AVERAGE(C6:C27)</f>
        <v>62.377272727272725</v>
      </c>
      <c r="D30" s="30">
        <f t="shared" si="1"/>
        <v>37.800000000000004</v>
      </c>
      <c r="E30" s="30">
        <f t="shared" si="1"/>
        <v>76.418181818181822</v>
      </c>
      <c r="F30" s="30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G15" sqref="G1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55</v>
      </c>
      <c r="B1" s="39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41" t="s">
        <v>52</v>
      </c>
      <c r="B5" s="1" t="s">
        <v>176</v>
      </c>
    </row>
    <row r="6" spans="1:10" ht="18" x14ac:dyDescent="0.35">
      <c r="A6" s="41" t="s">
        <v>151</v>
      </c>
      <c r="B6" s="1" t="s">
        <v>177</v>
      </c>
    </row>
    <row r="7" spans="1:10" ht="18" x14ac:dyDescent="0.35">
      <c r="A7" s="41"/>
      <c r="B7" s="1" t="s">
        <v>178</v>
      </c>
    </row>
    <row r="9" spans="1:10" ht="23.4" x14ac:dyDescent="0.45">
      <c r="A9" s="17" t="s">
        <v>163</v>
      </c>
      <c r="I9" s="2"/>
      <c r="J9" s="2"/>
    </row>
    <row r="10" spans="1:10" x14ac:dyDescent="0.3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160</v>
      </c>
    </row>
    <row r="15" spans="1:10" x14ac:dyDescent="0.3">
      <c r="A15" s="14" t="s">
        <v>102</v>
      </c>
      <c r="B15" s="16" t="s">
        <v>48</v>
      </c>
      <c r="C15" s="15" t="s">
        <v>49</v>
      </c>
      <c r="D15" s="16" t="s">
        <v>50</v>
      </c>
      <c r="E15" s="15" t="s">
        <v>51</v>
      </c>
      <c r="F15" s="16" t="s">
        <v>53</v>
      </c>
    </row>
    <row r="16" spans="1:10" x14ac:dyDescent="0.3">
      <c r="A16" s="43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A12" sqref="A12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44140625" style="2" bestFit="1" customWidth="1"/>
    <col min="7" max="8" width="14.441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7" width="12.44140625" style="2" bestFit="1" customWidth="1"/>
    <col min="18" max="18" width="24.109375" style="2" bestFit="1" customWidth="1"/>
    <col min="19" max="19" width="12.441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84</v>
      </c>
      <c r="B1" s="39" t="s">
        <v>165</v>
      </c>
    </row>
    <row r="2" spans="1:3" ht="18" x14ac:dyDescent="0.35">
      <c r="B2" s="38" t="s">
        <v>164</v>
      </c>
    </row>
    <row r="5" spans="1:3" ht="14.4" x14ac:dyDescent="0.3">
      <c r="B5" s="1" t="s">
        <v>149</v>
      </c>
    </row>
    <row r="6" spans="1:3" ht="14.4" x14ac:dyDescent="0.3">
      <c r="A6" s="3" t="s">
        <v>52</v>
      </c>
      <c r="B6" s="1" t="s">
        <v>182</v>
      </c>
    </row>
    <row r="7" spans="1:3" ht="14.4" x14ac:dyDescent="0.3">
      <c r="A7" s="3" t="s">
        <v>151</v>
      </c>
      <c r="B7" s="1" t="s">
        <v>183</v>
      </c>
    </row>
    <row r="8" spans="1:3" x14ac:dyDescent="0.3">
      <c r="B8" s="2" t="s">
        <v>184</v>
      </c>
    </row>
    <row r="10" spans="1:3" ht="23.4" x14ac:dyDescent="0.45">
      <c r="A10" s="17" t="s">
        <v>160</v>
      </c>
    </row>
    <row r="11" spans="1:3" ht="14.4" x14ac:dyDescent="0.3">
      <c r="A11" s="31" t="s">
        <v>85</v>
      </c>
      <c r="B11" s="16" t="s">
        <v>86</v>
      </c>
      <c r="C11" s="16" t="s">
        <v>87</v>
      </c>
    </row>
    <row r="12" spans="1:3" ht="14.4" x14ac:dyDescent="0.3">
      <c r="A12" s="31">
        <v>44927</v>
      </c>
      <c r="B12" s="16" t="s">
        <v>58</v>
      </c>
      <c r="C12" s="16">
        <v>200</v>
      </c>
    </row>
    <row r="13" spans="1:3" ht="14.4" x14ac:dyDescent="0.3">
      <c r="A13" s="31">
        <v>44928</v>
      </c>
      <c r="B13" s="16" t="s">
        <v>59</v>
      </c>
      <c r="C13" s="16">
        <v>20</v>
      </c>
    </row>
    <row r="14" spans="1:3" ht="14.4" x14ac:dyDescent="0.3">
      <c r="A14" s="31">
        <v>44929</v>
      </c>
      <c r="B14" s="16" t="s">
        <v>60</v>
      </c>
      <c r="C14" s="16">
        <v>50</v>
      </c>
    </row>
    <row r="15" spans="1:3" ht="14.4" x14ac:dyDescent="0.3">
      <c r="A15" s="31">
        <v>44930</v>
      </c>
      <c r="B15" s="16" t="s">
        <v>61</v>
      </c>
      <c r="C15" s="16">
        <v>20</v>
      </c>
    </row>
    <row r="16" spans="1:3" ht="14.4" x14ac:dyDescent="0.3">
      <c r="A16" s="31">
        <v>44931</v>
      </c>
      <c r="B16" s="16" t="s">
        <v>62</v>
      </c>
      <c r="C16" s="16">
        <v>10</v>
      </c>
    </row>
    <row r="17" spans="1:3" ht="14.4" x14ac:dyDescent="0.3">
      <c r="A17" s="31">
        <v>44932</v>
      </c>
      <c r="B17" s="16" t="s">
        <v>152</v>
      </c>
      <c r="C17" s="16">
        <v>150</v>
      </c>
    </row>
    <row r="18" spans="1:3" ht="14.4" x14ac:dyDescent="0.3">
      <c r="A18" s="31">
        <v>44933</v>
      </c>
      <c r="B18" s="16" t="s">
        <v>153</v>
      </c>
      <c r="C18" s="16">
        <v>80</v>
      </c>
    </row>
    <row r="19" spans="1:3" ht="14.4" x14ac:dyDescent="0.3">
      <c r="A19" s="31">
        <v>44934</v>
      </c>
      <c r="B19" s="16" t="s">
        <v>154</v>
      </c>
      <c r="C19" s="16">
        <v>20</v>
      </c>
    </row>
    <row r="20" spans="1:3" ht="14.4" x14ac:dyDescent="0.3">
      <c r="A20" s="31">
        <v>44935</v>
      </c>
      <c r="B20" s="16" t="s">
        <v>155</v>
      </c>
      <c r="C20" s="16">
        <v>30</v>
      </c>
    </row>
    <row r="21" spans="1:3" ht="14.4" x14ac:dyDescent="0.3">
      <c r="A21" s="31">
        <v>44936</v>
      </c>
      <c r="B21" s="16" t="s">
        <v>156</v>
      </c>
      <c r="C21" s="16">
        <v>20</v>
      </c>
    </row>
    <row r="22" spans="1:3" ht="14.4" x14ac:dyDescent="0.3">
      <c r="B22" s="16" t="s">
        <v>157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"/>
  <sheetViews>
    <sheetView tabSelected="1" zoomScale="80" zoomScaleNormal="80" workbookViewId="0">
      <selection activeCell="I21" sqref="I21"/>
    </sheetView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4" ht="21" x14ac:dyDescent="0.4">
      <c r="A1" s="40" t="s">
        <v>97</v>
      </c>
      <c r="B1" s="39" t="s">
        <v>173</v>
      </c>
    </row>
    <row r="3" spans="1:14" ht="14.4" x14ac:dyDescent="0.3">
      <c r="B3" s="1" t="s">
        <v>149</v>
      </c>
    </row>
    <row r="4" spans="1:14" ht="18" x14ac:dyDescent="0.35">
      <c r="A4" s="41" t="s">
        <v>52</v>
      </c>
      <c r="B4" s="1"/>
      <c r="C4" s="1" t="s">
        <v>181</v>
      </c>
      <c r="D4" s="1"/>
      <c r="E4" s="1"/>
      <c r="F4" s="1"/>
      <c r="G4" s="1"/>
      <c r="H4" s="1"/>
      <c r="I4" s="1"/>
      <c r="J4" s="1"/>
      <c r="K4" s="1"/>
      <c r="L4" s="1"/>
    </row>
    <row r="5" spans="1:14" ht="18" x14ac:dyDescent="0.35">
      <c r="A5" s="41" t="s">
        <v>151</v>
      </c>
      <c r="B5" s="1" t="s">
        <v>190</v>
      </c>
      <c r="C5" s="1"/>
      <c r="D5" s="1"/>
      <c r="E5" s="1"/>
      <c r="F5" s="1" t="s">
        <v>180</v>
      </c>
      <c r="G5" s="1"/>
      <c r="H5" s="1"/>
      <c r="I5" s="1"/>
      <c r="J5" s="1"/>
      <c r="K5" s="1"/>
      <c r="L5" s="1"/>
    </row>
    <row r="6" spans="1:14" ht="14.4" x14ac:dyDescent="0.3">
      <c r="A6" s="3"/>
      <c r="B6" s="1"/>
    </row>
    <row r="8" spans="1:14" ht="23.4" x14ac:dyDescent="0.45">
      <c r="A8" s="17" t="s">
        <v>160</v>
      </c>
      <c r="M8" s="17" t="s">
        <v>161</v>
      </c>
    </row>
    <row r="9" spans="1:14" ht="15.6" x14ac:dyDescent="0.3">
      <c r="A9" s="55"/>
      <c r="B9" s="55" t="s">
        <v>88</v>
      </c>
      <c r="C9" s="55" t="s">
        <v>89</v>
      </c>
      <c r="D9" s="55" t="s">
        <v>90</v>
      </c>
      <c r="E9" s="55" t="s">
        <v>91</v>
      </c>
      <c r="F9" s="55" t="s">
        <v>92</v>
      </c>
      <c r="G9" s="55" t="s">
        <v>93</v>
      </c>
      <c r="H9" s="55" t="s">
        <v>94</v>
      </c>
      <c r="I9" s="55" t="s">
        <v>95</v>
      </c>
      <c r="J9" s="55" t="s">
        <v>96</v>
      </c>
      <c r="M9" s="55" t="s">
        <v>43</v>
      </c>
      <c r="N9" s="55" t="s">
        <v>98</v>
      </c>
    </row>
    <row r="10" spans="1:14" ht="15.6" x14ac:dyDescent="0.3">
      <c r="A10" s="55" t="s">
        <v>88</v>
      </c>
      <c r="B10" s="49">
        <v>-1</v>
      </c>
      <c r="C10" s="49">
        <v>95</v>
      </c>
      <c r="D10" s="49">
        <v>-1</v>
      </c>
      <c r="E10" s="49">
        <v>185</v>
      </c>
      <c r="F10" s="49">
        <v>255</v>
      </c>
      <c r="G10" s="49">
        <v>305</v>
      </c>
      <c r="H10" s="49">
        <v>415</v>
      </c>
      <c r="I10" s="49">
        <v>480</v>
      </c>
      <c r="J10" s="49">
        <v>525</v>
      </c>
      <c r="M10" s="52">
        <v>10100</v>
      </c>
      <c r="N10" s="52" t="s">
        <v>88</v>
      </c>
    </row>
    <row r="11" spans="1:14" ht="15.6" x14ac:dyDescent="0.3">
      <c r="A11" s="55" t="s">
        <v>89</v>
      </c>
      <c r="B11" s="49">
        <v>95</v>
      </c>
      <c r="C11" s="49">
        <v>-1</v>
      </c>
      <c r="D11" s="49">
        <v>-1</v>
      </c>
      <c r="E11" s="49">
        <v>90</v>
      </c>
      <c r="F11" s="49">
        <v>160</v>
      </c>
      <c r="G11" s="49">
        <v>210</v>
      </c>
      <c r="H11" s="49">
        <v>325</v>
      </c>
      <c r="I11" s="49">
        <v>390</v>
      </c>
      <c r="J11" s="49">
        <v>430</v>
      </c>
      <c r="M11" s="52">
        <v>10102</v>
      </c>
      <c r="N11" s="52" t="s">
        <v>89</v>
      </c>
    </row>
    <row r="12" spans="1:14" ht="15.6" x14ac:dyDescent="0.3">
      <c r="A12" s="55" t="s">
        <v>90</v>
      </c>
      <c r="B12" s="49">
        <v>-1</v>
      </c>
      <c r="C12" s="49">
        <v>-1</v>
      </c>
      <c r="D12" s="49">
        <v>-1</v>
      </c>
      <c r="E12" s="49">
        <v>60</v>
      </c>
      <c r="F12" s="49">
        <v>130</v>
      </c>
      <c r="G12" s="49">
        <v>180</v>
      </c>
      <c r="H12" s="49">
        <v>295</v>
      </c>
      <c r="I12" s="49">
        <v>355</v>
      </c>
      <c r="J12" s="49">
        <v>400</v>
      </c>
      <c r="M12" s="52">
        <v>10104</v>
      </c>
      <c r="N12" s="52" t="s">
        <v>90</v>
      </c>
    </row>
    <row r="13" spans="1:14" ht="15.6" x14ac:dyDescent="0.3">
      <c r="A13" s="55" t="s">
        <v>91</v>
      </c>
      <c r="B13" s="49">
        <v>185</v>
      </c>
      <c r="C13" s="49">
        <v>90</v>
      </c>
      <c r="D13" s="49">
        <v>60</v>
      </c>
      <c r="E13" s="49">
        <v>-1</v>
      </c>
      <c r="F13" s="49">
        <v>70</v>
      </c>
      <c r="G13" s="49">
        <v>120</v>
      </c>
      <c r="H13" s="49">
        <v>235</v>
      </c>
      <c r="I13" s="49">
        <v>300</v>
      </c>
      <c r="J13" s="49">
        <v>340</v>
      </c>
      <c r="M13" s="52">
        <v>10106</v>
      </c>
      <c r="N13" s="52" t="s">
        <v>91</v>
      </c>
    </row>
    <row r="14" spans="1:14" ht="15.6" x14ac:dyDescent="0.3">
      <c r="A14" s="55" t="s">
        <v>92</v>
      </c>
      <c r="B14" s="49">
        <v>255</v>
      </c>
      <c r="C14" s="49">
        <v>160</v>
      </c>
      <c r="D14" s="49">
        <v>130</v>
      </c>
      <c r="E14" s="49">
        <v>70</v>
      </c>
      <c r="F14" s="49">
        <v>-1</v>
      </c>
      <c r="G14" s="49">
        <v>50</v>
      </c>
      <c r="H14" s="49">
        <v>165</v>
      </c>
      <c r="I14" s="49">
        <v>230</v>
      </c>
      <c r="J14" s="49">
        <v>270</v>
      </c>
      <c r="M14" s="52">
        <v>10108</v>
      </c>
      <c r="N14" s="52" t="s">
        <v>92</v>
      </c>
    </row>
    <row r="15" spans="1:14" ht="15.6" x14ac:dyDescent="0.3">
      <c r="A15" s="55" t="s">
        <v>93</v>
      </c>
      <c r="B15" s="49">
        <v>305</v>
      </c>
      <c r="C15" s="49">
        <v>210</v>
      </c>
      <c r="D15" s="49">
        <v>180</v>
      </c>
      <c r="E15" s="49">
        <v>120</v>
      </c>
      <c r="F15" s="49">
        <v>50</v>
      </c>
      <c r="G15" s="49">
        <v>-1</v>
      </c>
      <c r="H15" s="49">
        <v>115</v>
      </c>
      <c r="I15" s="49">
        <v>180</v>
      </c>
      <c r="J15" s="49">
        <v>220</v>
      </c>
      <c r="M15" s="52">
        <v>10110</v>
      </c>
      <c r="N15" s="52" t="s">
        <v>93</v>
      </c>
    </row>
    <row r="16" spans="1:14" ht="15.6" x14ac:dyDescent="0.3">
      <c r="A16" s="55" t="s">
        <v>94</v>
      </c>
      <c r="B16" s="49">
        <v>415</v>
      </c>
      <c r="C16" s="49">
        <v>325</v>
      </c>
      <c r="D16" s="49">
        <v>295</v>
      </c>
      <c r="E16" s="49">
        <v>235</v>
      </c>
      <c r="F16" s="49">
        <v>165</v>
      </c>
      <c r="G16" s="49">
        <v>115</v>
      </c>
      <c r="H16" s="49">
        <v>-1</v>
      </c>
      <c r="I16" s="49">
        <v>65</v>
      </c>
      <c r="J16" s="49">
        <v>105</v>
      </c>
      <c r="M16" s="52">
        <v>10112</v>
      </c>
      <c r="N16" s="52" t="s">
        <v>94</v>
      </c>
    </row>
    <row r="17" spans="1:14" ht="15.6" x14ac:dyDescent="0.3">
      <c r="A17" s="55" t="s">
        <v>95</v>
      </c>
      <c r="B17" s="49">
        <v>480</v>
      </c>
      <c r="C17" s="49">
        <v>390</v>
      </c>
      <c r="D17" s="49">
        <v>355</v>
      </c>
      <c r="E17" s="49">
        <v>300</v>
      </c>
      <c r="F17" s="49">
        <v>230</v>
      </c>
      <c r="G17" s="49">
        <v>180</v>
      </c>
      <c r="H17" s="49">
        <v>65</v>
      </c>
      <c r="I17" s="49">
        <v>-1</v>
      </c>
      <c r="J17" s="49">
        <v>40</v>
      </c>
      <c r="M17" s="52">
        <v>10114</v>
      </c>
      <c r="N17" s="52" t="s">
        <v>95</v>
      </c>
    </row>
    <row r="18" spans="1:14" ht="15.6" x14ac:dyDescent="0.3">
      <c r="A18" s="55" t="s">
        <v>96</v>
      </c>
      <c r="B18" s="49">
        <v>525</v>
      </c>
      <c r="C18" s="49">
        <v>430</v>
      </c>
      <c r="D18" s="49">
        <v>400</v>
      </c>
      <c r="E18" s="49">
        <v>340</v>
      </c>
      <c r="F18" s="49">
        <v>270</v>
      </c>
      <c r="G18" s="49">
        <v>220</v>
      </c>
      <c r="H18" s="49">
        <v>105</v>
      </c>
      <c r="I18" s="49">
        <v>40</v>
      </c>
      <c r="J18" s="49">
        <v>-1</v>
      </c>
      <c r="M18" s="54">
        <v>10116</v>
      </c>
      <c r="N18" s="54" t="s">
        <v>96</v>
      </c>
    </row>
    <row r="19" spans="1:14" ht="15.6" x14ac:dyDescent="0.3">
      <c r="M19" s="44"/>
      <c r="N19" s="44"/>
    </row>
    <row r="21" spans="1:14" ht="23.4" x14ac:dyDescent="0.45">
      <c r="A21" s="17" t="s">
        <v>166</v>
      </c>
    </row>
    <row r="22" spans="1:14" ht="15.6" x14ac:dyDescent="0.3">
      <c r="A22" s="48" t="s">
        <v>99</v>
      </c>
      <c r="B22" s="49" t="s">
        <v>100</v>
      </c>
      <c r="C22" s="50" t="s">
        <v>101</v>
      </c>
      <c r="D22" s="44" t="s">
        <v>99</v>
      </c>
      <c r="E22" s="44" t="s">
        <v>100</v>
      </c>
    </row>
    <row r="23" spans="1:14" ht="15.6" x14ac:dyDescent="0.3">
      <c r="A23" s="51">
        <v>10100</v>
      </c>
      <c r="B23" s="52">
        <v>10102</v>
      </c>
      <c r="C23" s="44">
        <f>INDEX($A$9:$J$18,MATCH(D23,$A$9:$A$18,0),MATCH(E23,$A$9:$J$9,0))</f>
        <v>95</v>
      </c>
      <c r="D23" s="44" t="str">
        <f>VLOOKUP(A23,$M$10:$N$18,2,0)</f>
        <v>A</v>
      </c>
      <c r="E23" s="44" t="str">
        <f>VLOOKUP(B23,$M$10:$N$18,2,0)</f>
        <v>B</v>
      </c>
    </row>
    <row r="24" spans="1:14" ht="15.6" x14ac:dyDescent="0.3">
      <c r="A24" s="51">
        <v>10100</v>
      </c>
      <c r="B24" s="52">
        <v>10104</v>
      </c>
      <c r="C24" s="44">
        <f t="shared" ref="C24:C35" si="0">INDEX($A$9:$J$18,MATCH(D24,$A$9:$A$18,0),MATCH(E24,$A$9:$J$9,0))</f>
        <v>-1</v>
      </c>
      <c r="D24" s="44" t="str">
        <f t="shared" ref="D24:D35" si="1">VLOOKUP(A24,$M$10:$N$18,2,0)</f>
        <v>A</v>
      </c>
      <c r="E24" s="44" t="str">
        <f t="shared" ref="E24:E35" si="2">VLOOKUP(B24,$M$10:$N$18,2,0)</f>
        <v>C</v>
      </c>
    </row>
    <row r="25" spans="1:14" ht="15.6" x14ac:dyDescent="0.3">
      <c r="A25" s="51">
        <v>10108</v>
      </c>
      <c r="B25" s="52">
        <v>10102</v>
      </c>
      <c r="C25" s="44">
        <f t="shared" si="0"/>
        <v>160</v>
      </c>
      <c r="D25" s="44" t="str">
        <f t="shared" si="1"/>
        <v>E</v>
      </c>
      <c r="E25" s="44" t="str">
        <f t="shared" si="2"/>
        <v>B</v>
      </c>
    </row>
    <row r="26" spans="1:14" ht="15.6" x14ac:dyDescent="0.3">
      <c r="A26" s="51">
        <v>10100</v>
      </c>
      <c r="B26" s="52">
        <v>10106</v>
      </c>
      <c r="C26" s="44">
        <f t="shared" si="0"/>
        <v>185</v>
      </c>
      <c r="D26" s="44" t="str">
        <f t="shared" si="1"/>
        <v>A</v>
      </c>
      <c r="E26" s="44" t="str">
        <f t="shared" si="2"/>
        <v>D</v>
      </c>
    </row>
    <row r="27" spans="1:14" ht="15.6" x14ac:dyDescent="0.3">
      <c r="A27" s="51">
        <v>10108</v>
      </c>
      <c r="B27" s="52">
        <v>10110</v>
      </c>
      <c r="C27" s="44">
        <f t="shared" si="0"/>
        <v>50</v>
      </c>
      <c r="D27" s="44" t="str">
        <f t="shared" si="1"/>
        <v>E</v>
      </c>
      <c r="E27" s="44" t="str">
        <f t="shared" si="2"/>
        <v>F</v>
      </c>
    </row>
    <row r="28" spans="1:14" ht="15.6" x14ac:dyDescent="0.3">
      <c r="A28" s="51">
        <v>10102</v>
      </c>
      <c r="B28" s="52">
        <v>10104</v>
      </c>
      <c r="C28" s="44">
        <f t="shared" si="0"/>
        <v>-1</v>
      </c>
      <c r="D28" s="44" t="str">
        <f t="shared" si="1"/>
        <v>B</v>
      </c>
      <c r="E28" s="44" t="str">
        <f t="shared" si="2"/>
        <v>C</v>
      </c>
    </row>
    <row r="29" spans="1:14" ht="15.6" x14ac:dyDescent="0.3">
      <c r="A29" s="51">
        <v>10106</v>
      </c>
      <c r="B29" s="52">
        <v>10108</v>
      </c>
      <c r="C29" s="44">
        <f t="shared" si="0"/>
        <v>70</v>
      </c>
      <c r="D29" s="44" t="str">
        <f t="shared" si="1"/>
        <v>D</v>
      </c>
      <c r="E29" s="44" t="str">
        <f t="shared" si="2"/>
        <v>E</v>
      </c>
    </row>
    <row r="30" spans="1:14" ht="15.6" x14ac:dyDescent="0.3">
      <c r="A30" s="51">
        <v>10102</v>
      </c>
      <c r="B30" s="52">
        <v>10106</v>
      </c>
      <c r="C30" s="44">
        <f t="shared" si="0"/>
        <v>90</v>
      </c>
      <c r="D30" s="44" t="str">
        <f t="shared" si="1"/>
        <v>B</v>
      </c>
      <c r="E30" s="44" t="str">
        <f t="shared" si="2"/>
        <v>D</v>
      </c>
    </row>
    <row r="31" spans="1:14" ht="15.6" x14ac:dyDescent="0.3">
      <c r="A31" s="51">
        <v>10110</v>
      </c>
      <c r="B31" s="52">
        <v>10114</v>
      </c>
      <c r="C31" s="44">
        <f t="shared" si="0"/>
        <v>180</v>
      </c>
      <c r="D31" s="44" t="str">
        <f t="shared" si="1"/>
        <v>F</v>
      </c>
      <c r="E31" s="44" t="str">
        <f t="shared" si="2"/>
        <v>H</v>
      </c>
    </row>
    <row r="32" spans="1:14" ht="15.6" x14ac:dyDescent="0.3">
      <c r="A32" s="51">
        <v>10104</v>
      </c>
      <c r="B32" s="52">
        <v>10106</v>
      </c>
      <c r="C32" s="44">
        <f t="shared" si="0"/>
        <v>60</v>
      </c>
      <c r="D32" s="44" t="str">
        <f t="shared" si="1"/>
        <v>C</v>
      </c>
      <c r="E32" s="44" t="str">
        <f t="shared" si="2"/>
        <v>D</v>
      </c>
    </row>
    <row r="33" spans="1:5" ht="15.6" x14ac:dyDescent="0.3">
      <c r="A33" s="51">
        <v>10110</v>
      </c>
      <c r="B33" s="52">
        <v>10112</v>
      </c>
      <c r="C33" s="44">
        <f t="shared" si="0"/>
        <v>115</v>
      </c>
      <c r="D33" s="44" t="str">
        <f t="shared" si="1"/>
        <v>F</v>
      </c>
      <c r="E33" s="44" t="str">
        <f t="shared" si="2"/>
        <v>G</v>
      </c>
    </row>
    <row r="34" spans="1:5" ht="15.6" x14ac:dyDescent="0.3">
      <c r="A34" s="51">
        <v>10100</v>
      </c>
      <c r="B34" s="52">
        <v>10114</v>
      </c>
      <c r="C34" s="44">
        <f t="shared" si="0"/>
        <v>480</v>
      </c>
      <c r="D34" s="44" t="str">
        <f t="shared" si="1"/>
        <v>A</v>
      </c>
      <c r="E34" s="44" t="str">
        <f t="shared" si="2"/>
        <v>H</v>
      </c>
    </row>
    <row r="35" spans="1:5" ht="15.6" x14ac:dyDescent="0.3">
      <c r="A35" s="53">
        <v>10112</v>
      </c>
      <c r="B35" s="54">
        <v>10116</v>
      </c>
      <c r="C35" s="44">
        <f t="shared" si="0"/>
        <v>105</v>
      </c>
      <c r="D35" s="44" t="str">
        <f t="shared" si="1"/>
        <v>G</v>
      </c>
      <c r="E35" s="44" t="str">
        <f t="shared" si="2"/>
        <v>I</v>
      </c>
    </row>
    <row r="38" spans="1:5" ht="15.6" x14ac:dyDescent="0.3">
      <c r="A38" s="44" t="s">
        <v>179</v>
      </c>
      <c r="B38" s="2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77DD5C61A827469900D9F310BD1C82" ma:contentTypeVersion="14" ma:contentTypeDescription="Create a new document." ma:contentTypeScope="" ma:versionID="18ac11981711af199dcdb97c00f9ff62">
  <xsd:schema xmlns:xsd="http://www.w3.org/2001/XMLSchema" xmlns:xs="http://www.w3.org/2001/XMLSchema" xmlns:p="http://schemas.microsoft.com/office/2006/metadata/properties" xmlns:ns3="c4b14ab5-27c7-49f3-8493-0174fac3bfae" xmlns:ns4="a951fb24-46e6-4208-9273-b94bc5f4bf2d" targetNamespace="http://schemas.microsoft.com/office/2006/metadata/properties" ma:root="true" ma:fieldsID="9a4845b8d851a70ac0dac4330e261347" ns3:_="" ns4:_="">
    <xsd:import namespace="c4b14ab5-27c7-49f3-8493-0174fac3bfae"/>
    <xsd:import namespace="a951fb24-46e6-4208-9273-b94bc5f4bf2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3:MediaLengthInSecond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b14ab5-27c7-49f3-8493-0174fac3bf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1fb24-46e6-4208-9273-b94bc5f4bf2d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4b14ab5-27c7-49f3-8493-0174fac3bfae" xsi:nil="true"/>
  </documentManagement>
</p:properties>
</file>

<file path=customXml/itemProps1.xml><?xml version="1.0" encoding="utf-8"?>
<ds:datastoreItem xmlns:ds="http://schemas.openxmlformats.org/officeDocument/2006/customXml" ds:itemID="{F82E838F-9F5D-48FA-B0E3-71B233DEFC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28983D-00C2-40D9-B40A-B1E804373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b14ab5-27c7-49f3-8493-0174fac3bfae"/>
    <ds:schemaRef ds:uri="a951fb24-46e6-4208-9273-b94bc5f4bf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5F7D78-78F6-4F46-BE7F-EF4AE17C9E55}">
  <ds:schemaRefs>
    <ds:schemaRef ds:uri="a951fb24-46e6-4208-9273-b94bc5f4bf2d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c4b14ab5-27c7-49f3-8493-0174fac3bfae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priyanka lokare</cp:lastModifiedBy>
  <dcterms:created xsi:type="dcterms:W3CDTF">2015-02-10T17:33:11Z</dcterms:created>
  <dcterms:modified xsi:type="dcterms:W3CDTF">2024-10-22T17:15:30Z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0x010100C577DD5C61A827469900D9F310BD1C82</vt:lpwstr>
  </property>
</Properties>
</file>